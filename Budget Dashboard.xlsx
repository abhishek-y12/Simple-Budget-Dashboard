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<sst xmlns="http://schemas.openxmlformats.org/spreadsheetml/2006/main" count="157" uniqueCount="99">
  <si>
    <t>BUDGET DASHBOARD</t>
  </si>
  <si>
    <t>OVERVIEW</t>
  </si>
  <si>
    <t>LEFT TO SPEND</t>
  </si>
  <si>
    <t>BUDGET VS ACTUAL</t>
  </si>
  <si>
    <t>Start Date</t>
  </si>
  <si>
    <t>Category</t>
  </si>
  <si>
    <t>Budget</t>
  </si>
  <si>
    <t>Actual</t>
  </si>
  <si>
    <t>End date</t>
  </si>
  <si>
    <t>Status</t>
  </si>
  <si>
    <t>Amount</t>
  </si>
  <si>
    <t>Bills</t>
  </si>
  <si>
    <t>Currency</t>
  </si>
  <si>
    <t>₹</t>
  </si>
  <si>
    <t>Spent</t>
  </si>
  <si>
    <t>Expense</t>
  </si>
  <si>
    <t>Start Balance</t>
  </si>
  <si>
    <t>Left</t>
  </si>
  <si>
    <t>Dept</t>
  </si>
  <si>
    <t>CASH FLOW</t>
  </si>
  <si>
    <t>Item</t>
  </si>
  <si>
    <t>Income</t>
  </si>
  <si>
    <t>Expenses</t>
  </si>
  <si>
    <t>BILLS</t>
  </si>
  <si>
    <t>EXPENSES</t>
  </si>
  <si>
    <t>DEPT</t>
  </si>
  <si>
    <t>Due</t>
  </si>
  <si>
    <t>Rent</t>
  </si>
  <si>
    <t>Netflix</t>
  </si>
  <si>
    <t>Emergency</t>
  </si>
  <si>
    <t>Phone</t>
  </si>
  <si>
    <t>Spotify</t>
  </si>
  <si>
    <t>Credit Card Axis</t>
  </si>
  <si>
    <t>INCOME</t>
  </si>
  <si>
    <t>Internet</t>
  </si>
  <si>
    <t>Coffee</t>
  </si>
  <si>
    <t>Credit Card SBI</t>
  </si>
  <si>
    <t>Gym</t>
  </si>
  <si>
    <t>Drinks</t>
  </si>
  <si>
    <t>Credit Card Kotak</t>
  </si>
  <si>
    <t>Salary</t>
  </si>
  <si>
    <t>Fuel</t>
  </si>
  <si>
    <t>Eating Out</t>
  </si>
  <si>
    <t>Credit Card PNB</t>
  </si>
  <si>
    <t>Freelance</t>
  </si>
  <si>
    <t>Groceries</t>
  </si>
  <si>
    <t>Gifts</t>
  </si>
  <si>
    <t>Vacation</t>
  </si>
  <si>
    <t>Total</t>
  </si>
  <si>
    <t>Health</t>
  </si>
  <si>
    <t>Entertainment</t>
  </si>
  <si>
    <t>Wedding</t>
  </si>
  <si>
    <t>Maintenance</t>
  </si>
  <si>
    <t>Clothes</t>
  </si>
  <si>
    <t>Renovation</t>
  </si>
  <si>
    <t>SAVINGS</t>
  </si>
  <si>
    <t>Bank fee</t>
  </si>
  <si>
    <t>Turf Fee</t>
  </si>
  <si>
    <t>Transport</t>
  </si>
  <si>
    <t>Travel</t>
  </si>
  <si>
    <t>Emergency Fund</t>
  </si>
  <si>
    <t>Car</t>
  </si>
  <si>
    <t>Subscriprions</t>
  </si>
  <si>
    <t>Investments</t>
  </si>
  <si>
    <t>Electricity</t>
  </si>
  <si>
    <t>Personal Care</t>
  </si>
  <si>
    <t>Insurance</t>
  </si>
  <si>
    <t>Miscellaneous</t>
  </si>
  <si>
    <t>SPENDING BREAKDOWN</t>
  </si>
  <si>
    <t>EXPENSE TRACKER</t>
  </si>
  <si>
    <t>%</t>
  </si>
  <si>
    <t>Date</t>
  </si>
  <si>
    <t>Description</t>
  </si>
  <si>
    <t>Monthly recharge</t>
  </si>
  <si>
    <t>Wifi bill</t>
  </si>
  <si>
    <t>Membership</t>
  </si>
  <si>
    <t>Petrol refill</t>
  </si>
  <si>
    <t>Weekly groceries</t>
  </si>
  <si>
    <t>Medicines</t>
  </si>
  <si>
    <t>Bike service</t>
  </si>
  <si>
    <t>Bank Fee</t>
  </si>
  <si>
    <t>Account charges</t>
  </si>
  <si>
    <t>Bus pass</t>
  </si>
  <si>
    <t>EMI</t>
  </si>
  <si>
    <t>Power bill</t>
  </si>
  <si>
    <t>Policy payment</t>
  </si>
  <si>
    <t>Party drinks</t>
  </si>
  <si>
    <t>Dinner</t>
  </si>
  <si>
    <t>Birthday gift</t>
  </si>
  <si>
    <t>Movie tickets</t>
  </si>
  <si>
    <t>Shopping</t>
  </si>
  <si>
    <t>Football turf</t>
  </si>
  <si>
    <t>Train tickets</t>
  </si>
  <si>
    <t>Salon</t>
  </si>
  <si>
    <t>Random expenses</t>
  </si>
  <si>
    <t xml:space="preserve">Emergency </t>
  </si>
  <si>
    <t>Savings deposit</t>
  </si>
  <si>
    <t>Bill payment</t>
  </si>
  <si>
    <t>Loan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</si>
</sst>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dd mmm"/>
  </numFmts>
  <fonts count="4">
    <font>
      <sz val="10.0"/>
      <color rgb="FF000000"/>
      <name val="Arial"/>
      <scheme val="minor"/>
    </font>
    <font>
      <b/>
      <sz val="26.0"/>
      <color rgb="FF434343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DD3EC"/>
        <bgColor rgb="FFFDD3E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1C7C7"/>
        <bgColor rgb="FFF1C7C7"/>
      </patternFill>
    </fill>
    <fill>
      <patternFill patternType="solid">
        <fgColor rgb="FFD2EAD1"/>
        <bgColor rgb="FFD2EAD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horizontal="right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3" fontId="2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 readingOrder="0"/>
    </xf>
    <xf borderId="0" fillId="15" fontId="2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10" xfId="0" applyBorder="1" applyFont="1" applyNumberFormat="1"/>
    <xf borderId="1" fillId="0" fontId="3" numFmtId="164" xfId="0" applyAlignment="1" applyBorder="1" applyFont="1" applyNumberFormat="1">
      <alignment horizontal="left" readingOrder="0"/>
    </xf>
    <xf borderId="1" fillId="0" fontId="3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Amount</a:t>
            </a:r>
          </a:p>
        </c:rich>
      </c:tx>
      <c:overlay val="0"/>
    </c:title>
    <c:plotArea>
      <c:layout>
        <c:manualLayout>
          <c:xMode val="edge"/>
          <c:yMode val="edge"/>
          <c:x val="0.03305357142857146"/>
          <c:y val="0.08965366341585386"/>
          <c:w val="0.777112673611111"/>
          <c:h val="0.7860215053763441"/>
        </c:manualLayout>
      </c:layout>
      <c:doughnutChart>
        <c:varyColors val="1"/>
        <c:ser>
          <c:idx val="0"/>
          <c:order val="0"/>
          <c:tx>
            <c:strRef>
              <c:f>Sheet1!$G$5</c:f>
            </c:strRef>
          </c:tx>
          <c:dPt>
            <c:idx val="0"/>
            <c:spPr>
              <a:solidFill>
                <a:srgbClr val="F4CCCC"/>
              </a:solidFill>
            </c:spPr>
          </c:dPt>
          <c:dPt>
            <c:idx val="1"/>
            <c:explosion val="0"/>
            <c:spPr>
              <a:solidFill>
                <a:srgbClr val="D9EAD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Sheet1!$F$6:$F$7</c:f>
            </c:strRef>
          </c:cat>
          <c:val>
            <c:numRef>
              <c:f>Sheet1!$G$6:$G$7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and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Sheet1!$K$4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Sheet1!$J$5:$J$7</c:f>
            </c:strRef>
          </c:cat>
          <c:val>
            <c:numRef>
              <c:f>Sheet1!$K$5:$K$7</c:f>
              <c:numCache/>
            </c:numRef>
          </c:val>
        </c:ser>
        <c:ser>
          <c:idx val="1"/>
          <c:order val="1"/>
          <c:tx>
            <c:strRef>
              <c:f>Sheet1!$L$4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cat>
            <c:strRef>
              <c:f>Sheet1!$J$5:$J$7</c:f>
            </c:strRef>
          </c:cat>
          <c:val>
            <c:numRef>
              <c:f>Sheet1!$L$5:$L$7</c:f>
              <c:numCache/>
            </c:numRef>
          </c:val>
        </c:ser>
        <c:axId val="1877502703"/>
        <c:axId val="30952165"/>
      </c:barChart>
      <c:catAx>
        <c:axId val="18775027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52165"/>
      </c:catAx>
      <c:valAx>
        <c:axId val="309521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5027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Sheet1!$L$4</c:f>
            </c:strRef>
          </c:tx>
          <c:dPt>
            <c:idx val="0"/>
            <c:spPr>
              <a:solidFill>
                <a:srgbClr val="A4C2F4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Sheet1!$J$5:$J$7</c:f>
            </c:strRef>
          </c:cat>
          <c:val>
            <c:numRef>
              <c:f>Sheet1!$L$5:$L$7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Spending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9DAF8"/>
              </a:solidFill>
            </c:spPr>
          </c:dPt>
          <c:dPt>
            <c:idx val="1"/>
            <c:spPr>
              <a:solidFill>
                <a:srgbClr val="E6B8AF"/>
              </a:solidFill>
            </c:spPr>
          </c:dPt>
          <c:dPt>
            <c:idx val="2"/>
            <c:spPr>
              <a:solidFill>
                <a:srgbClr val="EA99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Sheet1!$J$33:$J$35</c:f>
            </c:strRef>
          </c:cat>
          <c:val>
            <c:numRef>
              <c:f>Sheet1!$K$33:$K$35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1047750</xdr:colOff>
      <xdr:row>2</xdr:row>
      <xdr:rowOff>9525</xdr:rowOff>
    </xdr:from>
    <xdr:ext cx="4248150" cy="2362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1047750</xdr:colOff>
      <xdr:row>2</xdr:row>
      <xdr:rowOff>9525</xdr:rowOff>
    </xdr:from>
    <xdr:ext cx="4248150" cy="2362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1057275</xdr:colOff>
      <xdr:row>2</xdr:row>
      <xdr:rowOff>9525</xdr:rowOff>
    </xdr:from>
    <xdr:ext cx="4248150" cy="23622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0</xdr:colOff>
      <xdr:row>25</xdr:row>
      <xdr:rowOff>9525</xdr:rowOff>
    </xdr:from>
    <xdr:ext cx="4267200" cy="2295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19" width="13.88"/>
  </cols>
  <sheetData>
    <row r="1">
      <c r="A1" s="1" t="s">
        <v>0</v>
      </c>
    </row>
    <row r="3" ht="21.0" customHeight="1">
      <c r="A3" s="2" t="s">
        <v>1</v>
      </c>
      <c r="C3" s="3"/>
      <c r="D3" s="3"/>
      <c r="F3" s="4" t="s">
        <v>2</v>
      </c>
      <c r="H3" s="3"/>
      <c r="I3" s="3"/>
      <c r="J3" s="5" t="s">
        <v>3</v>
      </c>
      <c r="M3" s="3"/>
      <c r="P3" s="3"/>
      <c r="Q3" s="3"/>
      <c r="R3" s="3"/>
      <c r="S3" s="3"/>
    </row>
    <row r="4">
      <c r="A4" s="6" t="s">
        <v>4</v>
      </c>
      <c r="B4" s="7">
        <v>46023.0</v>
      </c>
      <c r="F4" s="8"/>
      <c r="G4" s="8"/>
      <c r="H4" s="9"/>
      <c r="I4" s="9"/>
      <c r="J4" s="6" t="s">
        <v>5</v>
      </c>
      <c r="K4" s="6" t="s">
        <v>6</v>
      </c>
      <c r="L4" s="6" t="s">
        <v>7</v>
      </c>
    </row>
    <row r="5">
      <c r="A5" s="6" t="s">
        <v>8</v>
      </c>
      <c r="B5" s="7">
        <f>EOMONTH(B4,0)</f>
        <v>46053</v>
      </c>
      <c r="F5" s="6" t="s">
        <v>9</v>
      </c>
      <c r="G5" s="6" t="s">
        <v>10</v>
      </c>
      <c r="H5" s="9"/>
      <c r="I5" s="9"/>
      <c r="J5" s="6" t="s">
        <v>11</v>
      </c>
      <c r="K5" s="10">
        <f t="shared" ref="K5:L5" si="1">SUM(G17:G27)</f>
        <v>24100</v>
      </c>
      <c r="L5" s="10">
        <f t="shared" si="1"/>
        <v>12400</v>
      </c>
    </row>
    <row r="6">
      <c r="A6" s="6" t="s">
        <v>12</v>
      </c>
      <c r="B6" s="11" t="s">
        <v>13</v>
      </c>
      <c r="F6" s="6" t="s">
        <v>14</v>
      </c>
      <c r="G6" s="10">
        <f> B14 + B15 + B16</f>
        <v>68967</v>
      </c>
      <c r="H6" s="9"/>
      <c r="I6" s="9"/>
      <c r="J6" s="6" t="s">
        <v>15</v>
      </c>
      <c r="K6" s="10">
        <f>SUM(M17:M29)</f>
        <v>9500</v>
      </c>
      <c r="L6" s="10">
        <f>SUM(M17:M26)</f>
        <v>8500</v>
      </c>
    </row>
    <row r="7">
      <c r="A7" s="6" t="s">
        <v>16</v>
      </c>
      <c r="B7" s="6">
        <v>50000.0</v>
      </c>
      <c r="F7" s="6" t="s">
        <v>17</v>
      </c>
      <c r="G7" s="10">
        <f>B17</f>
        <v>45533</v>
      </c>
      <c r="H7" s="9"/>
      <c r="I7" s="9"/>
      <c r="J7" s="6" t="s">
        <v>18</v>
      </c>
      <c r="K7" s="10">
        <f t="shared" ref="K7:L7" si="2">SUM(Q17:Q24)</f>
        <v>29400</v>
      </c>
      <c r="L7" s="10">
        <f t="shared" si="2"/>
        <v>8500</v>
      </c>
    </row>
    <row r="8">
      <c r="F8" s="9"/>
      <c r="G8" s="9"/>
      <c r="H8" s="9"/>
      <c r="I8" s="9"/>
    </row>
    <row r="10" ht="21.0" customHeight="1">
      <c r="A10" s="12" t="s">
        <v>19</v>
      </c>
      <c r="D10" s="3"/>
      <c r="J10" s="3"/>
      <c r="T10" s="3"/>
    </row>
    <row r="11">
      <c r="A11" s="6" t="s">
        <v>20</v>
      </c>
      <c r="B11" s="6" t="s">
        <v>6</v>
      </c>
      <c r="C11" s="6" t="s">
        <v>7</v>
      </c>
    </row>
    <row r="12">
      <c r="A12" s="6" t="s">
        <v>16</v>
      </c>
      <c r="B12" s="10">
        <f> B7</f>
        <v>50000</v>
      </c>
      <c r="C12" s="10">
        <f>B7</f>
        <v>50000</v>
      </c>
    </row>
    <row r="13">
      <c r="A13" s="6" t="s">
        <v>21</v>
      </c>
      <c r="B13" s="10">
        <f>C23</f>
        <v>64500</v>
      </c>
      <c r="C13" s="10">
        <f>C23</f>
        <v>64500</v>
      </c>
    </row>
    <row r="14">
      <c r="A14" s="6" t="s">
        <v>11</v>
      </c>
      <c r="B14" s="10">
        <f t="shared" ref="B14:C14" si="3">SUM(G17:G29)</f>
        <v>27350</v>
      </c>
      <c r="C14" s="10">
        <f t="shared" si="3"/>
        <v>16000</v>
      </c>
    </row>
    <row r="15">
      <c r="A15" s="6" t="s">
        <v>22</v>
      </c>
      <c r="B15" s="10">
        <f t="shared" ref="B15:C15" si="4">SUM(L17:L29)</f>
        <v>12217</v>
      </c>
      <c r="C15" s="10">
        <f t="shared" si="4"/>
        <v>9500</v>
      </c>
      <c r="E15" s="13" t="s">
        <v>23</v>
      </c>
      <c r="J15" s="14" t="s">
        <v>24</v>
      </c>
      <c r="O15" s="15" t="s">
        <v>25</v>
      </c>
    </row>
    <row r="16">
      <c r="A16" s="6" t="s">
        <v>18</v>
      </c>
      <c r="B16" s="10">
        <f t="shared" ref="B16:C16" si="5">SUM(Q17:Q24)</f>
        <v>29400</v>
      </c>
      <c r="C16" s="10">
        <f t="shared" si="5"/>
        <v>8500</v>
      </c>
      <c r="E16" s="6" t="s">
        <v>5</v>
      </c>
      <c r="F16" s="6" t="s">
        <v>26</v>
      </c>
      <c r="G16" s="6" t="s">
        <v>6</v>
      </c>
      <c r="H16" s="6" t="s">
        <v>7</v>
      </c>
      <c r="J16" s="6" t="s">
        <v>5</v>
      </c>
      <c r="K16" s="6" t="s">
        <v>26</v>
      </c>
      <c r="L16" s="6" t="s">
        <v>6</v>
      </c>
      <c r="M16" s="6" t="s">
        <v>7</v>
      </c>
      <c r="O16" s="6" t="s">
        <v>5</v>
      </c>
      <c r="P16" s="6" t="s">
        <v>26</v>
      </c>
      <c r="Q16" s="6" t="s">
        <v>6</v>
      </c>
      <c r="R16" s="6" t="s">
        <v>7</v>
      </c>
    </row>
    <row r="17">
      <c r="A17" s="6" t="s">
        <v>17</v>
      </c>
      <c r="B17" s="10">
        <f>B12+B13-B14-B15-B16</f>
        <v>45533</v>
      </c>
      <c r="C17" s="10">
        <f>C12 + C13 - C14 - C15 - C16</f>
        <v>80500</v>
      </c>
      <c r="E17" s="6" t="s">
        <v>27</v>
      </c>
      <c r="F17" s="6">
        <v>1.0</v>
      </c>
      <c r="G17" s="6">
        <v>8000.0</v>
      </c>
      <c r="H17" s="10">
        <f t="shared" ref="H17:H29" si="6">SUMIF($B$34:$B$200,E17,$D$34:$D$200)</f>
        <v>2000</v>
      </c>
      <c r="J17" s="6" t="s">
        <v>28</v>
      </c>
      <c r="K17" s="6">
        <v>3.0</v>
      </c>
      <c r="L17" s="6">
        <v>199.0</v>
      </c>
      <c r="M17" s="10">
        <f t="shared" ref="M17:M29" si="7">SUMIF($B$34:$B$200,J17,$D$34:$D$200)</f>
        <v>0</v>
      </c>
      <c r="O17" s="6" t="s">
        <v>29</v>
      </c>
      <c r="P17" s="6">
        <v>10.0</v>
      </c>
      <c r="Q17" s="6">
        <v>5000.0</v>
      </c>
      <c r="R17" s="10">
        <f t="shared" ref="R17:R24" si="8">SUMIF($B$34:$B$200,O17,$D$34:$D$200)</f>
        <v>500</v>
      </c>
    </row>
    <row r="18">
      <c r="E18" s="6" t="s">
        <v>30</v>
      </c>
      <c r="F18" s="6">
        <v>5.0</v>
      </c>
      <c r="G18" s="6">
        <v>750.0</v>
      </c>
      <c r="H18" s="10">
        <f t="shared" si="6"/>
        <v>750</v>
      </c>
      <c r="J18" s="6" t="s">
        <v>31</v>
      </c>
      <c r="K18" s="6">
        <v>5.0</v>
      </c>
      <c r="L18" s="6">
        <v>119.0</v>
      </c>
      <c r="M18" s="10">
        <f t="shared" si="7"/>
        <v>0</v>
      </c>
      <c r="O18" s="6" t="s">
        <v>32</v>
      </c>
      <c r="P18" s="6">
        <v>12.0</v>
      </c>
      <c r="Q18" s="6">
        <v>3000.0</v>
      </c>
      <c r="R18" s="10">
        <f t="shared" si="8"/>
        <v>0</v>
      </c>
    </row>
    <row r="19" ht="21.0" customHeight="1">
      <c r="A19" s="16" t="s">
        <v>33</v>
      </c>
      <c r="D19" s="3"/>
      <c r="E19" s="6" t="s">
        <v>34</v>
      </c>
      <c r="F19" s="6">
        <v>7.0</v>
      </c>
      <c r="G19" s="6">
        <v>700.0</v>
      </c>
      <c r="H19" s="10">
        <f t="shared" si="6"/>
        <v>700</v>
      </c>
      <c r="J19" s="6" t="s">
        <v>35</v>
      </c>
      <c r="K19" s="6">
        <v>7.0</v>
      </c>
      <c r="L19" s="6">
        <v>800.0</v>
      </c>
      <c r="M19" s="10">
        <f t="shared" si="7"/>
        <v>300</v>
      </c>
      <c r="O19" s="6" t="s">
        <v>36</v>
      </c>
      <c r="P19" s="6">
        <v>15.0</v>
      </c>
      <c r="Q19" s="6">
        <v>2500.0</v>
      </c>
      <c r="R19" s="10">
        <f t="shared" si="8"/>
        <v>0</v>
      </c>
    </row>
    <row r="20">
      <c r="A20" s="6" t="s">
        <v>5</v>
      </c>
      <c r="B20" s="6" t="s">
        <v>6</v>
      </c>
      <c r="C20" s="6" t="s">
        <v>7</v>
      </c>
      <c r="E20" s="6" t="s">
        <v>37</v>
      </c>
      <c r="F20" s="6">
        <v>10.0</v>
      </c>
      <c r="G20" s="6">
        <v>1500.0</v>
      </c>
      <c r="H20" s="10">
        <f t="shared" si="6"/>
        <v>1500</v>
      </c>
      <c r="J20" s="6" t="s">
        <v>38</v>
      </c>
      <c r="K20" s="6">
        <v>10.0</v>
      </c>
      <c r="L20" s="6">
        <v>600.0</v>
      </c>
      <c r="M20" s="10">
        <f t="shared" si="7"/>
        <v>600</v>
      </c>
      <c r="O20" s="6" t="s">
        <v>39</v>
      </c>
      <c r="P20" s="6">
        <v>18.0</v>
      </c>
      <c r="Q20" s="6">
        <v>6000.0</v>
      </c>
      <c r="R20" s="10">
        <f t="shared" si="8"/>
        <v>2000</v>
      </c>
    </row>
    <row r="21">
      <c r="A21" s="6" t="s">
        <v>40</v>
      </c>
      <c r="B21" s="6">
        <v>55000.0</v>
      </c>
      <c r="C21" s="10">
        <f t="shared" ref="C21:C22" si="9">SUMIF($B$34:$B$200,A21,$D$34:$D$200)</f>
        <v>54500</v>
      </c>
      <c r="E21" s="6" t="s">
        <v>41</v>
      </c>
      <c r="F21" s="6">
        <v>12.0</v>
      </c>
      <c r="G21" s="6">
        <v>3000.0</v>
      </c>
      <c r="H21" s="10">
        <f t="shared" si="6"/>
        <v>1200</v>
      </c>
      <c r="J21" s="6" t="s">
        <v>42</v>
      </c>
      <c r="K21" s="6">
        <v>12.0</v>
      </c>
      <c r="L21" s="6">
        <v>1500.0</v>
      </c>
      <c r="M21" s="10">
        <f t="shared" si="7"/>
        <v>1200</v>
      </c>
      <c r="O21" s="6" t="s">
        <v>43</v>
      </c>
      <c r="P21" s="6">
        <v>20.0</v>
      </c>
      <c r="Q21" s="6">
        <v>400.0</v>
      </c>
      <c r="R21" s="10">
        <f t="shared" si="8"/>
        <v>0</v>
      </c>
    </row>
    <row r="22">
      <c r="A22" s="6" t="s">
        <v>44</v>
      </c>
      <c r="B22" s="6">
        <v>8000.0</v>
      </c>
      <c r="C22" s="10">
        <f t="shared" si="9"/>
        <v>10000</v>
      </c>
      <c r="E22" s="6" t="s">
        <v>45</v>
      </c>
      <c r="F22" s="6">
        <v>15.0</v>
      </c>
      <c r="G22" s="6">
        <v>4000.0</v>
      </c>
      <c r="H22" s="10">
        <f t="shared" si="6"/>
        <v>1800</v>
      </c>
      <c r="J22" s="6" t="s">
        <v>46</v>
      </c>
      <c r="K22" s="6">
        <v>15.0</v>
      </c>
      <c r="L22" s="6">
        <v>0.0</v>
      </c>
      <c r="M22" s="10">
        <f t="shared" si="7"/>
        <v>700</v>
      </c>
      <c r="O22" s="6" t="s">
        <v>47</v>
      </c>
      <c r="P22" s="6">
        <v>25.0</v>
      </c>
      <c r="Q22" s="6">
        <v>4000.0</v>
      </c>
      <c r="R22" s="10">
        <f t="shared" si="8"/>
        <v>6000</v>
      </c>
    </row>
    <row r="23">
      <c r="A23" s="6" t="s">
        <v>48</v>
      </c>
      <c r="B23" s="10">
        <f>sum(B21,B22)</f>
        <v>63000</v>
      </c>
      <c r="C23" s="10">
        <f>sum(C21:C22)</f>
        <v>64500</v>
      </c>
      <c r="E23" s="6" t="s">
        <v>49</v>
      </c>
      <c r="F23" s="6">
        <v>18.0</v>
      </c>
      <c r="G23" s="6">
        <v>1200.0</v>
      </c>
      <c r="H23" s="10">
        <f t="shared" si="6"/>
        <v>500</v>
      </c>
      <c r="J23" s="6" t="s">
        <v>50</v>
      </c>
      <c r="K23" s="6">
        <v>18.0</v>
      </c>
      <c r="L23" s="6">
        <v>1200.0</v>
      </c>
      <c r="M23" s="10">
        <f t="shared" si="7"/>
        <v>800</v>
      </c>
      <c r="O23" s="6" t="s">
        <v>51</v>
      </c>
      <c r="P23" s="6">
        <v>26.0</v>
      </c>
      <c r="Q23" s="6">
        <v>3500.0</v>
      </c>
      <c r="R23" s="10">
        <f t="shared" si="8"/>
        <v>0</v>
      </c>
    </row>
    <row r="24">
      <c r="E24" s="6" t="s">
        <v>52</v>
      </c>
      <c r="F24" s="6">
        <v>20.0</v>
      </c>
      <c r="G24" s="6">
        <v>1000.0</v>
      </c>
      <c r="H24" s="10">
        <f t="shared" si="6"/>
        <v>800</v>
      </c>
      <c r="J24" s="6" t="s">
        <v>53</v>
      </c>
      <c r="K24" s="6">
        <v>20.0</v>
      </c>
      <c r="L24" s="6">
        <v>2000.0</v>
      </c>
      <c r="M24" s="10">
        <f t="shared" si="7"/>
        <v>1500</v>
      </c>
      <c r="O24" s="6" t="s">
        <v>54</v>
      </c>
      <c r="P24" s="6">
        <v>28.0</v>
      </c>
      <c r="Q24" s="6">
        <v>5000.0</v>
      </c>
      <c r="R24" s="10">
        <f t="shared" si="8"/>
        <v>0</v>
      </c>
    </row>
    <row r="25" ht="21.0" customHeight="1">
      <c r="A25" s="17" t="s">
        <v>55</v>
      </c>
      <c r="D25" s="18"/>
      <c r="E25" s="6" t="s">
        <v>56</v>
      </c>
      <c r="F25" s="6">
        <v>22.0</v>
      </c>
      <c r="G25" s="6">
        <v>250.0</v>
      </c>
      <c r="H25" s="10">
        <f t="shared" si="6"/>
        <v>250</v>
      </c>
      <c r="J25" s="6" t="s">
        <v>57</v>
      </c>
      <c r="K25" s="6">
        <v>22.0</v>
      </c>
      <c r="L25" s="6">
        <v>900.0</v>
      </c>
      <c r="M25" s="10">
        <f t="shared" si="7"/>
        <v>900</v>
      </c>
    </row>
    <row r="26">
      <c r="A26" s="6" t="s">
        <v>5</v>
      </c>
      <c r="B26" s="6" t="s">
        <v>6</v>
      </c>
      <c r="C26" s="6" t="s">
        <v>7</v>
      </c>
      <c r="E26" s="6" t="s">
        <v>58</v>
      </c>
      <c r="F26" s="6">
        <v>25.0</v>
      </c>
      <c r="G26" s="6">
        <v>1200.0</v>
      </c>
      <c r="H26" s="10">
        <f t="shared" si="6"/>
        <v>900</v>
      </c>
      <c r="J26" s="6" t="s">
        <v>59</v>
      </c>
      <c r="K26" s="6">
        <v>25.0</v>
      </c>
      <c r="L26" s="6">
        <v>3000.0</v>
      </c>
      <c r="M26" s="10">
        <f t="shared" si="7"/>
        <v>2500</v>
      </c>
    </row>
    <row r="27">
      <c r="A27" s="6" t="s">
        <v>60</v>
      </c>
      <c r="B27" s="6">
        <v>3000.0</v>
      </c>
      <c r="C27" s="10">
        <f t="shared" ref="C27:C28" si="10">0</f>
        <v>0</v>
      </c>
      <c r="E27" s="6" t="s">
        <v>61</v>
      </c>
      <c r="F27" s="6">
        <v>27.0</v>
      </c>
      <c r="G27" s="6">
        <v>2500.0</v>
      </c>
      <c r="H27" s="10">
        <f t="shared" si="6"/>
        <v>2000</v>
      </c>
      <c r="J27" s="6" t="s">
        <v>62</v>
      </c>
      <c r="K27" s="6">
        <v>27.0</v>
      </c>
      <c r="L27" s="6">
        <v>499.0</v>
      </c>
      <c r="M27" s="10">
        <f t="shared" si="7"/>
        <v>0</v>
      </c>
    </row>
    <row r="28">
      <c r="A28" s="6" t="s">
        <v>63</v>
      </c>
      <c r="B28" s="6">
        <v>5000.0</v>
      </c>
      <c r="C28" s="10">
        <f t="shared" si="10"/>
        <v>0</v>
      </c>
      <c r="E28" s="6" t="s">
        <v>64</v>
      </c>
      <c r="F28" s="6">
        <v>28.0</v>
      </c>
      <c r="G28" s="6">
        <v>1200.0</v>
      </c>
      <c r="H28" s="10">
        <f t="shared" si="6"/>
        <v>1100</v>
      </c>
      <c r="J28" s="6" t="s">
        <v>65</v>
      </c>
      <c r="K28" s="6">
        <v>28.0</v>
      </c>
      <c r="L28" s="6">
        <v>600.0</v>
      </c>
      <c r="M28" s="10">
        <f t="shared" si="7"/>
        <v>600</v>
      </c>
    </row>
    <row r="29">
      <c r="A29" s="6" t="s">
        <v>48</v>
      </c>
      <c r="B29" s="10">
        <f>SUM(B27,B28)</f>
        <v>8000</v>
      </c>
      <c r="C29" s="10">
        <f>sum(C27:C28)</f>
        <v>0</v>
      </c>
      <c r="E29" s="6" t="s">
        <v>66</v>
      </c>
      <c r="F29" s="6">
        <v>30.0</v>
      </c>
      <c r="G29" s="6">
        <v>2050.0</v>
      </c>
      <c r="H29" s="10">
        <f t="shared" si="6"/>
        <v>2500</v>
      </c>
      <c r="J29" s="6" t="s">
        <v>67</v>
      </c>
      <c r="K29" s="6">
        <v>30.0</v>
      </c>
      <c r="L29" s="6">
        <v>800.0</v>
      </c>
      <c r="M29" s="10">
        <f t="shared" si="7"/>
        <v>400</v>
      </c>
    </row>
    <row r="31">
      <c r="J31" s="19" t="s">
        <v>68</v>
      </c>
      <c r="O31" s="3"/>
      <c r="P31" s="3"/>
      <c r="Q31" s="3"/>
      <c r="R31" s="3"/>
      <c r="S31" s="3"/>
    </row>
    <row r="32" ht="21.0" customHeight="1">
      <c r="A32" s="20" t="s">
        <v>69</v>
      </c>
      <c r="E32" s="3"/>
      <c r="F32" s="3"/>
      <c r="G32" s="3"/>
      <c r="H32" s="3"/>
      <c r="I32" s="3"/>
      <c r="J32" s="6" t="s">
        <v>5</v>
      </c>
      <c r="K32" s="6" t="s">
        <v>10</v>
      </c>
      <c r="L32" s="6" t="s">
        <v>70</v>
      </c>
      <c r="M32" s="3"/>
      <c r="N32" s="3"/>
    </row>
    <row r="33">
      <c r="A33" s="21" t="s">
        <v>71</v>
      </c>
      <c r="B33" s="6" t="s">
        <v>5</v>
      </c>
      <c r="C33" s="6" t="s">
        <v>72</v>
      </c>
      <c r="D33" s="6" t="s">
        <v>10</v>
      </c>
      <c r="J33" s="6" t="s">
        <v>27</v>
      </c>
      <c r="K33" s="10">
        <f>SUMIF($B$34:$B$200,J33,$D$34:$D$200)</f>
        <v>2000</v>
      </c>
      <c r="L33" s="22">
        <f t="shared" ref="L33:L35" si="11">K33/SUM($K$33:$K$35)</f>
        <v>0.7142857143</v>
      </c>
    </row>
    <row r="34">
      <c r="A34" s="23">
        <v>46024.0</v>
      </c>
      <c r="B34" s="6" t="s">
        <v>27</v>
      </c>
      <c r="C34" s="10"/>
      <c r="D34" s="6">
        <v>2000.0</v>
      </c>
      <c r="J34" s="6" t="s">
        <v>35</v>
      </c>
      <c r="K34" s="6">
        <v>300.0</v>
      </c>
      <c r="L34" s="22">
        <f t="shared" si="11"/>
        <v>0.1071428571</v>
      </c>
    </row>
    <row r="35">
      <c r="A35" s="23">
        <v>46025.0</v>
      </c>
      <c r="B35" s="6" t="s">
        <v>35</v>
      </c>
      <c r="C35" s="10"/>
      <c r="D35" s="6">
        <v>300.0</v>
      </c>
      <c r="J35" s="6" t="s">
        <v>29</v>
      </c>
      <c r="K35" s="6">
        <v>500.0</v>
      </c>
      <c r="L35" s="22">
        <f t="shared" si="11"/>
        <v>0.1785714286</v>
      </c>
    </row>
    <row r="36">
      <c r="A36" s="23">
        <v>46026.0</v>
      </c>
      <c r="B36" s="6" t="s">
        <v>29</v>
      </c>
      <c r="C36" s="10"/>
      <c r="D36" s="6">
        <v>500.0</v>
      </c>
    </row>
    <row r="37">
      <c r="A37" s="23">
        <v>46026.0</v>
      </c>
      <c r="B37" s="6" t="s">
        <v>40</v>
      </c>
      <c r="C37" s="10"/>
      <c r="D37" s="6">
        <v>54500.0</v>
      </c>
    </row>
    <row r="38">
      <c r="A38" s="23">
        <v>46027.0</v>
      </c>
      <c r="B38" s="6" t="s">
        <v>44</v>
      </c>
      <c r="C38" s="10"/>
      <c r="D38" s="6">
        <v>10000.0</v>
      </c>
    </row>
    <row r="39">
      <c r="A39" s="23">
        <v>46027.0</v>
      </c>
      <c r="B39" s="6" t="s">
        <v>30</v>
      </c>
      <c r="C39" s="6" t="s">
        <v>73</v>
      </c>
      <c r="D39" s="6">
        <v>750.0</v>
      </c>
    </row>
    <row r="40">
      <c r="A40" s="23">
        <v>46029.0</v>
      </c>
      <c r="B40" s="6" t="s">
        <v>34</v>
      </c>
      <c r="C40" s="6" t="s">
        <v>74</v>
      </c>
      <c r="D40" s="6">
        <v>700.0</v>
      </c>
    </row>
    <row r="41">
      <c r="A41" s="23">
        <v>46032.0</v>
      </c>
      <c r="B41" s="6" t="s">
        <v>37</v>
      </c>
      <c r="C41" s="6" t="s">
        <v>75</v>
      </c>
      <c r="D41" s="6">
        <v>1500.0</v>
      </c>
    </row>
    <row r="42" ht="21.0" customHeight="1">
      <c r="A42" s="23">
        <v>46034.0</v>
      </c>
      <c r="B42" s="6" t="s">
        <v>41</v>
      </c>
      <c r="C42" s="6" t="s">
        <v>76</v>
      </c>
      <c r="D42" s="6">
        <v>1200.0</v>
      </c>
      <c r="R42" s="3"/>
      <c r="S42" s="3"/>
    </row>
    <row r="43">
      <c r="A43" s="23">
        <v>46037.0</v>
      </c>
      <c r="B43" s="6" t="s">
        <v>45</v>
      </c>
      <c r="C43" s="6" t="s">
        <v>77</v>
      </c>
      <c r="D43" s="6">
        <v>1800.0</v>
      </c>
    </row>
    <row r="44">
      <c r="A44" s="23">
        <v>46040.0</v>
      </c>
      <c r="B44" s="6" t="s">
        <v>49</v>
      </c>
      <c r="C44" s="6" t="s">
        <v>78</v>
      </c>
      <c r="D44" s="6">
        <v>500.0</v>
      </c>
    </row>
    <row r="45">
      <c r="A45" s="23">
        <v>46042.0</v>
      </c>
      <c r="B45" s="6" t="s">
        <v>52</v>
      </c>
      <c r="C45" s="6" t="s">
        <v>79</v>
      </c>
      <c r="D45" s="6">
        <v>800.0</v>
      </c>
    </row>
    <row r="46">
      <c r="A46" s="23">
        <v>46044.0</v>
      </c>
      <c r="B46" s="6" t="s">
        <v>80</v>
      </c>
      <c r="C46" s="6" t="s">
        <v>81</v>
      </c>
      <c r="D46" s="6">
        <v>250.0</v>
      </c>
    </row>
    <row r="47">
      <c r="A47" s="23">
        <v>46047.0</v>
      </c>
      <c r="B47" s="6" t="s">
        <v>58</v>
      </c>
      <c r="C47" s="6" t="s">
        <v>82</v>
      </c>
      <c r="D47" s="6">
        <v>900.0</v>
      </c>
    </row>
    <row r="48">
      <c r="A48" s="23">
        <v>46049.0</v>
      </c>
      <c r="B48" s="6" t="s">
        <v>61</v>
      </c>
      <c r="C48" s="6" t="s">
        <v>83</v>
      </c>
      <c r="D48" s="6">
        <v>2000.0</v>
      </c>
    </row>
    <row r="49">
      <c r="A49" s="23">
        <v>46050.0</v>
      </c>
      <c r="B49" s="6" t="s">
        <v>64</v>
      </c>
      <c r="C49" s="6" t="s">
        <v>84</v>
      </c>
      <c r="D49" s="6">
        <v>1100.0</v>
      </c>
    </row>
    <row r="50">
      <c r="A50" s="23">
        <v>46052.0</v>
      </c>
      <c r="B50" s="6" t="s">
        <v>66</v>
      </c>
      <c r="C50" s="6" t="s">
        <v>85</v>
      </c>
      <c r="D50" s="6">
        <v>2500.0</v>
      </c>
    </row>
    <row r="51">
      <c r="A51" s="23">
        <v>46033.0</v>
      </c>
      <c r="B51" s="6" t="s">
        <v>38</v>
      </c>
      <c r="C51" s="6" t="s">
        <v>86</v>
      </c>
      <c r="D51" s="6">
        <v>600.0</v>
      </c>
    </row>
    <row r="52">
      <c r="A52" s="23">
        <v>46036.0</v>
      </c>
      <c r="B52" s="6" t="s">
        <v>42</v>
      </c>
      <c r="C52" s="6" t="s">
        <v>87</v>
      </c>
      <c r="D52" s="6">
        <v>1200.0</v>
      </c>
    </row>
    <row r="53">
      <c r="A53" s="23">
        <v>46039.0</v>
      </c>
      <c r="B53" s="6" t="s">
        <v>46</v>
      </c>
      <c r="C53" s="6" t="s">
        <v>88</v>
      </c>
      <c r="D53" s="6">
        <v>700.0</v>
      </c>
    </row>
    <row r="54">
      <c r="A54" s="23">
        <v>46041.0</v>
      </c>
      <c r="B54" s="6" t="s">
        <v>50</v>
      </c>
      <c r="C54" s="6" t="s">
        <v>89</v>
      </c>
      <c r="D54" s="6">
        <v>800.0</v>
      </c>
    </row>
    <row r="55">
      <c r="A55" s="23">
        <v>46043.0</v>
      </c>
      <c r="B55" s="6" t="s">
        <v>53</v>
      </c>
      <c r="C55" s="6" t="s">
        <v>90</v>
      </c>
      <c r="D55" s="6">
        <v>1500.0</v>
      </c>
    </row>
    <row r="56">
      <c r="A56" s="23">
        <v>46045.0</v>
      </c>
      <c r="B56" s="6" t="s">
        <v>57</v>
      </c>
      <c r="C56" s="6" t="s">
        <v>91</v>
      </c>
      <c r="D56" s="6">
        <v>900.0</v>
      </c>
    </row>
    <row r="57">
      <c r="A57" s="23">
        <v>46048.0</v>
      </c>
      <c r="B57" s="6" t="s">
        <v>59</v>
      </c>
      <c r="C57" s="6" t="s">
        <v>92</v>
      </c>
      <c r="D57" s="6">
        <v>2500.0</v>
      </c>
    </row>
    <row r="58">
      <c r="A58" s="23">
        <v>46051.0</v>
      </c>
      <c r="B58" s="6" t="s">
        <v>65</v>
      </c>
      <c r="C58" s="6" t="s">
        <v>93</v>
      </c>
      <c r="D58" s="6">
        <v>600.0</v>
      </c>
    </row>
    <row r="59">
      <c r="A59" s="23">
        <v>46053.0</v>
      </c>
      <c r="B59" s="6" t="s">
        <v>67</v>
      </c>
      <c r="C59" s="6" t="s">
        <v>94</v>
      </c>
      <c r="D59" s="6">
        <v>400.0</v>
      </c>
    </row>
    <row r="60">
      <c r="A60" s="24">
        <v>46031.0</v>
      </c>
      <c r="B60" s="6" t="s">
        <v>95</v>
      </c>
      <c r="C60" s="6" t="s">
        <v>96</v>
      </c>
      <c r="D60" s="6">
        <v>1000.0</v>
      </c>
    </row>
    <row r="61">
      <c r="A61" s="23">
        <v>46038.0</v>
      </c>
      <c r="B61" s="6" t="s">
        <v>39</v>
      </c>
      <c r="C61" s="6" t="s">
        <v>97</v>
      </c>
      <c r="D61" s="6">
        <v>2000.0</v>
      </c>
    </row>
    <row r="62">
      <c r="A62" s="23">
        <v>46046.0</v>
      </c>
      <c r="B62" s="6" t="s">
        <v>47</v>
      </c>
      <c r="C62" s="6" t="s">
        <v>98</v>
      </c>
      <c r="D62" s="6">
        <v>6000.0</v>
      </c>
    </row>
  </sheetData>
  <mergeCells count="12">
    <mergeCell ref="A10:C10"/>
    <mergeCell ref="A19:C19"/>
    <mergeCell ref="A25:C25"/>
    <mergeCell ref="J31:L31"/>
    <mergeCell ref="A32:D32"/>
    <mergeCell ref="A1:R1"/>
    <mergeCell ref="A3:B3"/>
    <mergeCell ref="F3:G3"/>
    <mergeCell ref="J3:L3"/>
    <mergeCell ref="E15:H15"/>
    <mergeCell ref="J15:M15"/>
    <mergeCell ref="O15:R15"/>
  </mergeCells>
  <drawing r:id="rId1"/>
</worksheet>
</file>